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18915" windowHeight="74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X18" i="1"/>
  <c r="W18"/>
  <c r="X17"/>
  <c r="X16"/>
  <c r="W16"/>
  <c r="X15"/>
  <c r="W15"/>
  <c r="X14"/>
  <c r="W14"/>
  <c r="X13"/>
  <c r="W13"/>
  <c r="X12"/>
  <c r="W12"/>
  <c r="X11"/>
  <c r="W11"/>
  <c r="X10"/>
  <c r="W10"/>
  <c r="X9"/>
  <c r="W9"/>
  <c r="X8"/>
  <c r="W8"/>
  <c r="Y14" l="1"/>
  <c r="Y10"/>
  <c r="Y18"/>
  <c r="Y8"/>
  <c r="Y17"/>
  <c r="Y12"/>
  <c r="Y9"/>
  <c r="Y16"/>
  <c r="Y13"/>
  <c r="Y15"/>
  <c r="Y11"/>
</calcChain>
</file>

<file path=xl/sharedStrings.xml><?xml version="1.0" encoding="utf-8"?>
<sst xmlns="http://schemas.openxmlformats.org/spreadsheetml/2006/main" count="162" uniqueCount="48">
  <si>
    <t>SHREE B.P. BASIC SCHOOL</t>
  </si>
  <si>
    <t>RAPTI R. M.-3,  BASANTAPUR, DANG</t>
  </si>
  <si>
    <t>FIRST TERM EXAMINATION-2082</t>
  </si>
  <si>
    <t>Class : 1                                                                                                                      PUBLISHED DATE: 2082-04-20</t>
  </si>
  <si>
    <t>SN</t>
  </si>
  <si>
    <t>STUDENT'S NAME</t>
  </si>
  <si>
    <t>NEPALI</t>
  </si>
  <si>
    <t>ENGLISH</t>
  </si>
  <si>
    <t>MATHEMATICS</t>
  </si>
  <si>
    <t>MERO SEROFERO</t>
  </si>
  <si>
    <t>HAMRO RAPTI</t>
  </si>
  <si>
    <t>GPA</t>
  </si>
  <si>
    <t>Total</t>
  </si>
  <si>
    <t>Rank</t>
  </si>
  <si>
    <t>E.</t>
  </si>
  <si>
    <t>Tot</t>
  </si>
  <si>
    <t>GP</t>
  </si>
  <si>
    <t>GR</t>
  </si>
  <si>
    <t>Alina Chaudhary</t>
  </si>
  <si>
    <t>2.8</t>
  </si>
  <si>
    <t>B</t>
  </si>
  <si>
    <t>4.0</t>
  </si>
  <si>
    <t>A+</t>
  </si>
  <si>
    <t>3.6</t>
  </si>
  <si>
    <t>A</t>
  </si>
  <si>
    <t>2.0</t>
  </si>
  <si>
    <t>C</t>
  </si>
  <si>
    <t>Isneha Chaudhary</t>
  </si>
  <si>
    <t>2.4</t>
  </si>
  <si>
    <t>C+</t>
  </si>
  <si>
    <t>Nishal Chaudhary</t>
  </si>
  <si>
    <t>Rabi Chaudhary</t>
  </si>
  <si>
    <t>Radhika Chaudhary</t>
  </si>
  <si>
    <t>Rijal Chaudhary</t>
  </si>
  <si>
    <t>sahil Chaudhary</t>
  </si>
  <si>
    <t>3.2</t>
  </si>
  <si>
    <t>B+</t>
  </si>
  <si>
    <t>Sahina Chaudhary</t>
  </si>
  <si>
    <t>Salina Chaudhry</t>
  </si>
  <si>
    <t>Subin Chaudhary</t>
  </si>
  <si>
    <t>-</t>
  </si>
  <si>
    <t>NG</t>
  </si>
  <si>
    <t>Yachya Bahadhur Kumal</t>
  </si>
  <si>
    <t>…………………………………</t>
  </si>
  <si>
    <t>……………………….</t>
  </si>
  <si>
    <t>CLASS TEACHER</t>
  </si>
  <si>
    <t>EXAM CO-ORDINATOR</t>
  </si>
  <si>
    <t>HEAD TEACHER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</si>
</sst>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rgb="FF002060"/>
      <name val="Times New Roman"/>
      <family val="1"/>
    </font>
    <font>
      <sz val="10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rgb="FF002060"/>
      </bottom>
      <diagonal/>
    </border>
    <border>
      <left/>
      <right/>
      <top style="thin">
        <color indexed="64"/>
      </top>
      <bottom style="thin">
        <color rgb="FF002060"/>
      </bottom>
      <diagonal/>
    </border>
    <border>
      <left/>
      <right style="medium">
        <color rgb="FF002060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206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indexed="64"/>
      </left>
      <right style="medium">
        <color rgb="FF002060"/>
      </right>
      <top/>
      <bottom style="thin">
        <color indexed="64"/>
      </bottom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/>
      <bottom style="medium">
        <color indexed="64"/>
      </bottom>
      <diagonal/>
    </border>
    <border>
      <left style="thin">
        <color rgb="FF002060"/>
      </left>
      <right style="thin">
        <color rgb="FF002060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5" fillId="0" borderId="4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6" xfId="0" applyFont="1" applyBorder="1" applyAlignment="1">
      <alignment horizontal="left" indent="3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6" fillId="2" borderId="11" xfId="0" applyFont="1" applyFill="1" applyBorder="1" applyAlignment="1" applyProtection="1">
      <alignment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0" fillId="0" borderId="0" xfId="0" applyBorder="1" applyProtection="1">
      <protection locked="0"/>
    </xf>
    <xf numFmtId="0" fontId="7" fillId="0" borderId="27" xfId="0" applyFont="1" applyBorder="1" applyProtection="1">
      <protection locked="0"/>
    </xf>
    <xf numFmtId="0" fontId="7" fillId="0" borderId="27" xfId="0" applyFont="1" applyBorder="1" applyProtection="1"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0" fontId="7" fillId="0" borderId="31" xfId="0" applyFont="1" applyBorder="1" applyProtection="1">
      <protection locked="0"/>
    </xf>
    <xf numFmtId="0" fontId="7" fillId="0" borderId="31" xfId="0" applyFont="1" applyBorder="1" applyProtection="1">
      <protection hidden="1"/>
    </xf>
    <xf numFmtId="0" fontId="1" fillId="0" borderId="32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7" fillId="0" borderId="33" xfId="0" applyFont="1" applyBorder="1" applyProtection="1">
      <protection hidden="1"/>
    </xf>
    <xf numFmtId="0" fontId="1" fillId="0" borderId="34" xfId="0" applyFont="1" applyBorder="1" applyAlignment="1" applyProtection="1">
      <alignment horizontal="center"/>
      <protection hidden="1"/>
    </xf>
    <xf numFmtId="2" fontId="7" fillId="4" borderId="9" xfId="0" applyNumberFormat="1" applyFont="1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7" fillId="0" borderId="19" xfId="0" applyFont="1" applyBorder="1" applyProtection="1">
      <protection locked="0"/>
    </xf>
    <xf numFmtId="0" fontId="7" fillId="0" borderId="19" xfId="0" applyFont="1" applyBorder="1" applyProtection="1"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35" xfId="0" applyFont="1" applyBorder="1" applyAlignment="1" applyProtection="1">
      <alignment horizontal="center"/>
      <protection hidden="1"/>
    </xf>
    <xf numFmtId="0" fontId="7" fillId="0" borderId="36" xfId="0" applyFont="1" applyBorder="1" applyProtection="1">
      <protection hidden="1"/>
    </xf>
    <xf numFmtId="0" fontId="1" fillId="0" borderId="37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0" fillId="0" borderId="38" xfId="0" applyBorder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0" fillId="0" borderId="40" xfId="0" applyBorder="1"/>
    <xf numFmtId="0" fontId="5" fillId="0" borderId="41" xfId="0" applyFont="1" applyBorder="1" applyAlignment="1">
      <alignment horizontal="center"/>
    </xf>
    <xf numFmtId="0" fontId="5" fillId="0" borderId="41" xfId="0" applyFont="1" applyBorder="1" applyAlignment="1"/>
    <xf numFmtId="0" fontId="0" fillId="0" borderId="41" xfId="0" applyBorder="1"/>
    <xf numFmtId="0" fontId="5" fillId="0" borderId="41" xfId="0" applyFont="1" applyBorder="1" applyAlignment="1">
      <alignment horizontal="center"/>
    </xf>
    <xf numFmtId="0" fontId="6" fillId="2" borderId="43" xfId="0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2" borderId="46" xfId="0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318055</xdr:colOff>
      <xdr:row>0</xdr:row>
      <xdr:rowOff>59636</xdr:rowOff>
    </xdr:from>
    <xdr:to>
      <xdr:col>1</xdr:col>
      <xdr:colOff>612500</xdr:colOff>
      <xdr:row>0</xdr:row>
      <xdr:rowOff>272713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6655" y="59636"/>
          <a:ext cx="294445" cy="441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zoomScaleNormal="100" workbookViewId="0">
      <selection activeCell="U16" sqref="U16"/>
    </sheetView>
  </sheetViews>
  <sheetFormatPr defaultRowHeight="15"/>
  <cols>
    <col min="1" max="1" width="3.42578125" bestFit="1" customWidth="1"/>
    <col min="2" max="2" width="22.28515625" bestFit="1" customWidth="1"/>
    <col min="3" max="3" width="5.5703125" customWidth="1"/>
    <col min="4" max="4" width="3.5703125" bestFit="1" customWidth="1"/>
    <col min="5" max="5" width="3.42578125" bestFit="1" customWidth="1"/>
    <col min="6" max="6" width="3.5703125" bestFit="1" customWidth="1"/>
    <col min="7" max="7" width="3" bestFit="1" customWidth="1"/>
    <col min="8" max="8" width="3.5703125" bestFit="1" customWidth="1"/>
    <col min="9" max="9" width="3.42578125" bestFit="1" customWidth="1"/>
    <col min="10" max="10" width="3.5703125" bestFit="1" customWidth="1"/>
    <col min="11" max="11" width="5.5703125" customWidth="1"/>
    <col min="12" max="12" width="3.5703125" bestFit="1" customWidth="1"/>
    <col min="13" max="13" width="3.42578125" bestFit="1" customWidth="1"/>
    <col min="14" max="14" width="3.5703125" bestFit="1" customWidth="1"/>
    <col min="15" max="15" width="3" bestFit="1" customWidth="1"/>
    <col min="16" max="16" width="3.5703125" bestFit="1" customWidth="1"/>
    <col min="17" max="17" width="3.42578125" bestFit="1" customWidth="1"/>
    <col min="18" max="18" width="3.5703125" bestFit="1" customWidth="1"/>
    <col min="19" max="19" width="3" bestFit="1" customWidth="1"/>
    <col min="20" max="20" width="3.5703125" bestFit="1" customWidth="1"/>
    <col min="21" max="21" width="7.85546875" customWidth="1"/>
    <col min="22" max="22" width="3.5703125" bestFit="1" customWidth="1"/>
    <col min="23" max="23" width="4.7109375" bestFit="1" customWidth="1"/>
    <col min="24" max="24" width="7" bestFit="1" customWidth="1"/>
    <col min="25" max="25" width="6.85546875" style="81" bestFit="1" customWidth="1"/>
  </cols>
  <sheetData>
    <row r="1" spans="1:25" ht="3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.7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 spans="1: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 spans="1:25" ht="18.7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</row>
    <row r="5" spans="1:25">
      <c r="A5" s="13" t="s">
        <v>4</v>
      </c>
      <c r="B5" s="14" t="s">
        <v>5</v>
      </c>
      <c r="C5" s="15" t="s">
        <v>6</v>
      </c>
      <c r="D5" s="16"/>
      <c r="E5" s="16"/>
      <c r="F5" s="17"/>
      <c r="G5" s="18" t="s">
        <v>7</v>
      </c>
      <c r="H5" s="19"/>
      <c r="I5" s="19"/>
      <c r="J5" s="20"/>
      <c r="K5" s="21" t="s">
        <v>8</v>
      </c>
      <c r="L5" s="22"/>
      <c r="M5" s="22"/>
      <c r="N5" s="23"/>
      <c r="O5" s="21" t="s">
        <v>9</v>
      </c>
      <c r="P5" s="22"/>
      <c r="Q5" s="22"/>
      <c r="R5" s="23"/>
      <c r="S5" s="21" t="s">
        <v>10</v>
      </c>
      <c r="T5" s="22"/>
      <c r="U5" s="22"/>
      <c r="V5" s="23"/>
      <c r="W5" s="24" t="s">
        <v>11</v>
      </c>
      <c r="X5" s="25" t="s">
        <v>12</v>
      </c>
      <c r="Y5" s="26" t="s">
        <v>13</v>
      </c>
    </row>
    <row r="6" spans="1:25">
      <c r="A6" s="27"/>
      <c r="B6" s="28"/>
      <c r="C6" s="29" t="s">
        <v>14</v>
      </c>
      <c r="D6" s="29" t="s">
        <v>15</v>
      </c>
      <c r="E6" s="39" t="s">
        <v>16</v>
      </c>
      <c r="F6" s="40" t="s">
        <v>17</v>
      </c>
      <c r="G6" s="29" t="s">
        <v>14</v>
      </c>
      <c r="H6" s="29" t="s">
        <v>15</v>
      </c>
      <c r="I6" s="39" t="s">
        <v>16</v>
      </c>
      <c r="J6" s="40" t="s">
        <v>17</v>
      </c>
      <c r="K6" s="29" t="s">
        <v>14</v>
      </c>
      <c r="L6" s="29" t="s">
        <v>15</v>
      </c>
      <c r="M6" s="39" t="s">
        <v>16</v>
      </c>
      <c r="N6" s="40" t="s">
        <v>17</v>
      </c>
      <c r="O6" s="29" t="s">
        <v>14</v>
      </c>
      <c r="P6" s="29" t="s">
        <v>15</v>
      </c>
      <c r="Q6" s="30" t="s">
        <v>16</v>
      </c>
      <c r="R6" s="28" t="s">
        <v>17</v>
      </c>
      <c r="S6" s="29" t="s">
        <v>14</v>
      </c>
      <c r="T6" s="29" t="s">
        <v>15</v>
      </c>
      <c r="U6" s="30" t="s">
        <v>16</v>
      </c>
      <c r="V6" s="28" t="s">
        <v>17</v>
      </c>
      <c r="W6" s="31"/>
      <c r="X6" s="32"/>
      <c r="Y6" s="33"/>
    </row>
    <row r="7" spans="1:25" ht="15.75" thickBot="1">
      <c r="A7" s="34"/>
      <c r="B7" s="35"/>
      <c r="C7" s="36">
        <v>50</v>
      </c>
      <c r="D7" s="36">
        <v>50</v>
      </c>
      <c r="E7" s="75"/>
      <c r="F7" s="74"/>
      <c r="G7" s="36">
        <v>50</v>
      </c>
      <c r="H7" s="36">
        <v>50</v>
      </c>
      <c r="I7" s="75"/>
      <c r="J7" s="74"/>
      <c r="K7" s="38">
        <v>50</v>
      </c>
      <c r="L7" s="38">
        <v>50</v>
      </c>
      <c r="M7" s="77"/>
      <c r="N7" s="76"/>
      <c r="O7" s="36">
        <v>50</v>
      </c>
      <c r="P7" s="36">
        <v>50</v>
      </c>
      <c r="Q7" s="37"/>
      <c r="R7" s="35"/>
      <c r="S7" s="36">
        <v>50</v>
      </c>
      <c r="T7" s="36">
        <v>50</v>
      </c>
      <c r="U7" s="37"/>
      <c r="V7" s="35"/>
      <c r="W7" s="41"/>
      <c r="X7" s="32"/>
      <c r="Y7" s="33"/>
    </row>
    <row r="8" spans="1:25">
      <c r="A8" s="42">
        <v>1</v>
      </c>
      <c r="B8" s="43" t="s">
        <v>18</v>
      </c>
      <c r="C8" s="44">
        <v>30</v>
      </c>
      <c r="D8" s="45">
        <v>30</v>
      </c>
      <c r="E8" s="46" t="s">
        <v>19</v>
      </c>
      <c r="F8" s="47" t="s">
        <v>20</v>
      </c>
      <c r="G8" s="44">
        <v>45</v>
      </c>
      <c r="H8" s="45">
        <v>45</v>
      </c>
      <c r="I8" s="46" t="s">
        <v>21</v>
      </c>
      <c r="J8" s="48" t="s">
        <v>22</v>
      </c>
      <c r="K8" s="49">
        <v>40</v>
      </c>
      <c r="L8" s="50">
        <v>40</v>
      </c>
      <c r="M8" s="51" t="s">
        <v>23</v>
      </c>
      <c r="N8" s="52" t="s">
        <v>24</v>
      </c>
      <c r="O8" s="44">
        <v>20</v>
      </c>
      <c r="P8" s="53">
        <v>20</v>
      </c>
      <c r="Q8" s="46" t="s">
        <v>25</v>
      </c>
      <c r="R8" s="54" t="s">
        <v>26</v>
      </c>
      <c r="S8" s="44">
        <v>40</v>
      </c>
      <c r="T8" s="45">
        <v>40</v>
      </c>
      <c r="U8" s="46" t="s">
        <v>23</v>
      </c>
      <c r="V8" s="54" t="s">
        <v>24</v>
      </c>
      <c r="W8" s="55">
        <f>Z8/5</f>
        <v>0</v>
      </c>
      <c r="X8" s="56">
        <f>D8+H8+L8+P8+T8</f>
        <v>175</v>
      </c>
      <c r="Y8" s="78">
        <f>RANK(X8,$X$8:$X$18)</f>
        <v>9</v>
      </c>
    </row>
    <row r="9" spans="1:25">
      <c r="A9" s="42">
        <v>2</v>
      </c>
      <c r="B9" s="43" t="s">
        <v>27</v>
      </c>
      <c r="C9" s="57">
        <v>25</v>
      </c>
      <c r="D9" s="58">
        <v>25</v>
      </c>
      <c r="E9" s="59" t="s">
        <v>28</v>
      </c>
      <c r="F9" s="60" t="s">
        <v>29</v>
      </c>
      <c r="G9" s="57">
        <v>50</v>
      </c>
      <c r="H9" s="61">
        <v>50</v>
      </c>
      <c r="I9" s="59" t="s">
        <v>21</v>
      </c>
      <c r="J9" s="62" t="s">
        <v>22</v>
      </c>
      <c r="K9" s="57">
        <v>46</v>
      </c>
      <c r="L9" s="58">
        <v>46</v>
      </c>
      <c r="M9" s="59" t="s">
        <v>21</v>
      </c>
      <c r="N9" s="63" t="s">
        <v>22</v>
      </c>
      <c r="O9" s="57">
        <v>20</v>
      </c>
      <c r="P9" s="58">
        <v>20</v>
      </c>
      <c r="Q9" s="59" t="s">
        <v>25</v>
      </c>
      <c r="R9" s="60" t="s">
        <v>26</v>
      </c>
      <c r="S9" s="57">
        <v>50</v>
      </c>
      <c r="T9" s="58">
        <v>50</v>
      </c>
      <c r="U9" s="59" t="s">
        <v>21</v>
      </c>
      <c r="V9" s="60" t="s">
        <v>22</v>
      </c>
      <c r="W9" s="55">
        <f t="shared" ref="W9:W18" si="0">Z9/5</f>
        <v>0</v>
      </c>
      <c r="X9" s="56">
        <f>D9+H9+L9+P9+T9</f>
        <v>191</v>
      </c>
      <c r="Y9" s="78">
        <f t="shared" ref="Y9:Y18" si="1">RANK(X9,$X$8:$X$18)</f>
        <v>7</v>
      </c>
    </row>
    <row r="10" spans="1:25">
      <c r="A10" s="42">
        <v>3</v>
      </c>
      <c r="B10" s="43" t="s">
        <v>30</v>
      </c>
      <c r="C10" s="57">
        <v>27</v>
      </c>
      <c r="D10" s="58">
        <v>27</v>
      </c>
      <c r="E10" s="59" t="s">
        <v>28</v>
      </c>
      <c r="F10" s="60" t="s">
        <v>29</v>
      </c>
      <c r="G10" s="57">
        <v>50</v>
      </c>
      <c r="H10" s="58">
        <v>50</v>
      </c>
      <c r="I10" s="59" t="s">
        <v>21</v>
      </c>
      <c r="J10" s="62" t="s">
        <v>22</v>
      </c>
      <c r="K10" s="57">
        <v>50</v>
      </c>
      <c r="L10" s="58">
        <v>50</v>
      </c>
      <c r="M10" s="59" t="s">
        <v>21</v>
      </c>
      <c r="N10" s="63" t="s">
        <v>22</v>
      </c>
      <c r="O10" s="57">
        <v>41</v>
      </c>
      <c r="P10" s="58">
        <v>41</v>
      </c>
      <c r="Q10" s="59" t="s">
        <v>23</v>
      </c>
      <c r="R10" s="60" t="s">
        <v>24</v>
      </c>
      <c r="S10" s="57">
        <v>50</v>
      </c>
      <c r="T10" s="58">
        <v>50</v>
      </c>
      <c r="U10" s="59" t="s">
        <v>21</v>
      </c>
      <c r="V10" s="60" t="s">
        <v>22</v>
      </c>
      <c r="W10" s="55">
        <f t="shared" si="0"/>
        <v>0</v>
      </c>
      <c r="X10" s="56">
        <f>D10+H10+L10+P10+T10</f>
        <v>218</v>
      </c>
      <c r="Y10" s="78">
        <f t="shared" si="1"/>
        <v>2</v>
      </c>
    </row>
    <row r="11" spans="1:25">
      <c r="A11" s="42">
        <v>4</v>
      </c>
      <c r="B11" s="43" t="s">
        <v>31</v>
      </c>
      <c r="C11" s="57">
        <v>44</v>
      </c>
      <c r="D11" s="58">
        <v>44</v>
      </c>
      <c r="E11" s="59" t="s">
        <v>23</v>
      </c>
      <c r="F11" s="60" t="s">
        <v>24</v>
      </c>
      <c r="G11" s="57">
        <v>50</v>
      </c>
      <c r="H11" s="58">
        <v>50</v>
      </c>
      <c r="I11" s="59" t="s">
        <v>21</v>
      </c>
      <c r="J11" s="62" t="s">
        <v>22</v>
      </c>
      <c r="K11" s="57">
        <v>50</v>
      </c>
      <c r="L11" s="58">
        <v>50</v>
      </c>
      <c r="M11" s="59" t="s">
        <v>21</v>
      </c>
      <c r="N11" s="63" t="s">
        <v>22</v>
      </c>
      <c r="O11" s="57">
        <v>20</v>
      </c>
      <c r="P11" s="58">
        <v>20</v>
      </c>
      <c r="Q11" s="59" t="s">
        <v>25</v>
      </c>
      <c r="R11" s="60" t="s">
        <v>26</v>
      </c>
      <c r="S11" s="57">
        <v>50</v>
      </c>
      <c r="T11" s="58">
        <v>50</v>
      </c>
      <c r="U11" s="59" t="s">
        <v>21</v>
      </c>
      <c r="V11" s="60" t="s">
        <v>22</v>
      </c>
      <c r="W11" s="55">
        <f t="shared" si="0"/>
        <v>0</v>
      </c>
      <c r="X11" s="56">
        <f>D11+H11+L11+P11+T11</f>
        <v>214</v>
      </c>
      <c r="Y11" s="78">
        <f t="shared" si="1"/>
        <v>3</v>
      </c>
    </row>
    <row r="12" spans="1:25">
      <c r="A12" s="42">
        <v>5</v>
      </c>
      <c r="B12" s="43" t="s">
        <v>32</v>
      </c>
      <c r="C12" s="57">
        <v>40</v>
      </c>
      <c r="D12" s="58">
        <v>40</v>
      </c>
      <c r="E12" s="59" t="s">
        <v>23</v>
      </c>
      <c r="F12" s="60" t="s">
        <v>24</v>
      </c>
      <c r="G12" s="57">
        <v>50</v>
      </c>
      <c r="H12" s="58">
        <v>50</v>
      </c>
      <c r="I12" s="59" t="s">
        <v>21</v>
      </c>
      <c r="J12" s="62" t="s">
        <v>22</v>
      </c>
      <c r="K12" s="57">
        <v>50</v>
      </c>
      <c r="L12" s="58">
        <v>50</v>
      </c>
      <c r="M12" s="59" t="s">
        <v>21</v>
      </c>
      <c r="N12" s="63" t="s">
        <v>22</v>
      </c>
      <c r="O12" s="57">
        <v>20</v>
      </c>
      <c r="P12" s="58">
        <v>20</v>
      </c>
      <c r="Q12" s="59" t="s">
        <v>25</v>
      </c>
      <c r="R12" s="60" t="s">
        <v>26</v>
      </c>
      <c r="S12" s="57">
        <v>50</v>
      </c>
      <c r="T12" s="58">
        <v>50</v>
      </c>
      <c r="U12" s="59" t="s">
        <v>21</v>
      </c>
      <c r="V12" s="60" t="s">
        <v>22</v>
      </c>
      <c r="W12" s="55">
        <f t="shared" si="0"/>
        <v>0</v>
      </c>
      <c r="X12" s="56">
        <f>D12+H12+L12+P12+T12</f>
        <v>210</v>
      </c>
      <c r="Y12" s="78">
        <f t="shared" si="1"/>
        <v>4</v>
      </c>
    </row>
    <row r="13" spans="1:25">
      <c r="A13" s="42">
        <v>6</v>
      </c>
      <c r="B13" s="43" t="s">
        <v>33</v>
      </c>
      <c r="C13" s="57">
        <v>20</v>
      </c>
      <c r="D13" s="58">
        <v>20</v>
      </c>
      <c r="E13" s="59" t="s">
        <v>25</v>
      </c>
      <c r="F13" s="60" t="s">
        <v>26</v>
      </c>
      <c r="G13" s="57">
        <v>50</v>
      </c>
      <c r="H13" s="58">
        <v>50</v>
      </c>
      <c r="I13" s="59" t="s">
        <v>21</v>
      </c>
      <c r="J13" s="62" t="s">
        <v>22</v>
      </c>
      <c r="K13" s="57">
        <v>42</v>
      </c>
      <c r="L13" s="58">
        <v>42</v>
      </c>
      <c r="M13" s="59" t="s">
        <v>23</v>
      </c>
      <c r="N13" s="63" t="s">
        <v>24</v>
      </c>
      <c r="O13" s="57">
        <v>40</v>
      </c>
      <c r="P13" s="58">
        <v>40</v>
      </c>
      <c r="Q13" s="59" t="s">
        <v>23</v>
      </c>
      <c r="R13" s="60" t="s">
        <v>24</v>
      </c>
      <c r="S13" s="57">
        <v>45</v>
      </c>
      <c r="T13" s="58">
        <v>45</v>
      </c>
      <c r="U13" s="59" t="s">
        <v>21</v>
      </c>
      <c r="V13" s="60" t="s">
        <v>22</v>
      </c>
      <c r="W13" s="55">
        <f t="shared" si="0"/>
        <v>0</v>
      </c>
      <c r="X13" s="56">
        <f>D13+H13+L13+P13+T13</f>
        <v>197</v>
      </c>
      <c r="Y13" s="78">
        <f t="shared" si="1"/>
        <v>6</v>
      </c>
    </row>
    <row r="14" spans="1:25">
      <c r="A14" s="42">
        <v>7</v>
      </c>
      <c r="B14" s="43" t="s">
        <v>34</v>
      </c>
      <c r="C14" s="57">
        <v>35</v>
      </c>
      <c r="D14" s="58">
        <v>35</v>
      </c>
      <c r="E14" s="59" t="s">
        <v>35</v>
      </c>
      <c r="F14" s="60" t="s">
        <v>36</v>
      </c>
      <c r="G14" s="57">
        <v>50</v>
      </c>
      <c r="H14" s="58">
        <v>50</v>
      </c>
      <c r="I14" s="59" t="s">
        <v>21</v>
      </c>
      <c r="J14" s="62" t="s">
        <v>22</v>
      </c>
      <c r="K14" s="57">
        <v>50</v>
      </c>
      <c r="L14" s="58">
        <v>50</v>
      </c>
      <c r="M14" s="59" t="s">
        <v>21</v>
      </c>
      <c r="N14" s="63" t="s">
        <v>22</v>
      </c>
      <c r="O14" s="57">
        <v>20</v>
      </c>
      <c r="P14" s="58">
        <v>20</v>
      </c>
      <c r="Q14" s="59" t="s">
        <v>25</v>
      </c>
      <c r="R14" s="60" t="s">
        <v>26</v>
      </c>
      <c r="S14" s="57">
        <v>50</v>
      </c>
      <c r="T14" s="58">
        <v>50</v>
      </c>
      <c r="U14" s="59" t="s">
        <v>21</v>
      </c>
      <c r="V14" s="60" t="s">
        <v>22</v>
      </c>
      <c r="W14" s="55">
        <f t="shared" si="0"/>
        <v>0</v>
      </c>
      <c r="X14" s="56">
        <f>D14+H14+L14+P14+T14</f>
        <v>205</v>
      </c>
      <c r="Y14" s="78">
        <f t="shared" si="1"/>
        <v>5</v>
      </c>
    </row>
    <row r="15" spans="1:25">
      <c r="A15" s="42">
        <v>8</v>
      </c>
      <c r="B15" s="43" t="s">
        <v>37</v>
      </c>
      <c r="C15" s="57">
        <v>30</v>
      </c>
      <c r="D15" s="58">
        <v>30</v>
      </c>
      <c r="E15" s="59" t="s">
        <v>19</v>
      </c>
      <c r="F15" s="60" t="s">
        <v>20</v>
      </c>
      <c r="G15" s="57">
        <v>39</v>
      </c>
      <c r="H15" s="58">
        <v>39</v>
      </c>
      <c r="I15" s="59" t="s">
        <v>35</v>
      </c>
      <c r="J15" s="62" t="s">
        <v>36</v>
      </c>
      <c r="K15" s="57">
        <v>40</v>
      </c>
      <c r="L15" s="58">
        <v>40</v>
      </c>
      <c r="M15" s="59" t="s">
        <v>23</v>
      </c>
      <c r="N15" s="63" t="s">
        <v>24</v>
      </c>
      <c r="O15" s="57">
        <v>20</v>
      </c>
      <c r="P15" s="58">
        <v>20</v>
      </c>
      <c r="Q15" s="59" t="s">
        <v>25</v>
      </c>
      <c r="R15" s="60" t="s">
        <v>26</v>
      </c>
      <c r="S15" s="57">
        <v>50</v>
      </c>
      <c r="T15" s="58">
        <v>50</v>
      </c>
      <c r="U15" s="59" t="s">
        <v>21</v>
      </c>
      <c r="V15" s="60" t="s">
        <v>22</v>
      </c>
      <c r="W15" s="55">
        <f t="shared" si="0"/>
        <v>0</v>
      </c>
      <c r="X15" s="56">
        <f>D15+H15+L15+P15+T15</f>
        <v>179</v>
      </c>
      <c r="Y15" s="78">
        <f t="shared" si="1"/>
        <v>8</v>
      </c>
    </row>
    <row r="16" spans="1:25">
      <c r="A16" s="42">
        <v>9</v>
      </c>
      <c r="B16" s="43" t="s">
        <v>38</v>
      </c>
      <c r="C16" s="57">
        <v>20</v>
      </c>
      <c r="D16" s="58">
        <v>20</v>
      </c>
      <c r="E16" s="59" t="s">
        <v>25</v>
      </c>
      <c r="F16" s="60" t="s">
        <v>26</v>
      </c>
      <c r="G16" s="57">
        <v>42</v>
      </c>
      <c r="H16" s="58">
        <v>42</v>
      </c>
      <c r="I16" s="59" t="s">
        <v>23</v>
      </c>
      <c r="J16" s="62" t="s">
        <v>24</v>
      </c>
      <c r="K16" s="57">
        <v>40</v>
      </c>
      <c r="L16" s="58">
        <v>40</v>
      </c>
      <c r="M16" s="59" t="s">
        <v>23</v>
      </c>
      <c r="N16" s="63" t="s">
        <v>24</v>
      </c>
      <c r="O16" s="57">
        <v>20</v>
      </c>
      <c r="P16" s="58">
        <v>20</v>
      </c>
      <c r="Q16" s="59" t="s">
        <v>25</v>
      </c>
      <c r="R16" s="60" t="s">
        <v>26</v>
      </c>
      <c r="S16" s="57">
        <v>45</v>
      </c>
      <c r="T16" s="58">
        <v>45</v>
      </c>
      <c r="U16" s="59" t="s">
        <v>21</v>
      </c>
      <c r="V16" s="60" t="s">
        <v>22</v>
      </c>
      <c r="W16" s="55">
        <f t="shared" si="0"/>
        <v>0</v>
      </c>
      <c r="X16" s="56">
        <f>D16+H16+L16+P16+T16</f>
        <v>167</v>
      </c>
      <c r="Y16" s="78">
        <f t="shared" si="1"/>
        <v>10</v>
      </c>
    </row>
    <row r="17" spans="1:25">
      <c r="A17" s="42">
        <v>10</v>
      </c>
      <c r="B17" s="43" t="s">
        <v>39</v>
      </c>
      <c r="C17" s="57">
        <v>1</v>
      </c>
      <c r="D17" s="58">
        <v>1</v>
      </c>
      <c r="E17" s="59" t="s">
        <v>40</v>
      </c>
      <c r="F17" s="60" t="s">
        <v>41</v>
      </c>
      <c r="G17" s="57">
        <v>15</v>
      </c>
      <c r="H17" s="58">
        <v>15</v>
      </c>
      <c r="I17" s="59" t="s">
        <v>40</v>
      </c>
      <c r="J17" s="62" t="s">
        <v>41</v>
      </c>
      <c r="K17" s="57">
        <v>47</v>
      </c>
      <c r="L17" s="58">
        <v>47</v>
      </c>
      <c r="M17" s="59" t="s">
        <v>21</v>
      </c>
      <c r="N17" s="63" t="s">
        <v>22</v>
      </c>
      <c r="O17" s="57">
        <v>40</v>
      </c>
      <c r="P17" s="58">
        <v>40</v>
      </c>
      <c r="Q17" s="59" t="s">
        <v>23</v>
      </c>
      <c r="R17" s="60" t="s">
        <v>24</v>
      </c>
      <c r="S17" s="57">
        <v>50</v>
      </c>
      <c r="T17" s="58">
        <v>50</v>
      </c>
      <c r="U17" s="59" t="s">
        <v>21</v>
      </c>
      <c r="V17" s="60" t="s">
        <v>22</v>
      </c>
      <c r="W17" s="55" t="s">
        <v>40</v>
      </c>
      <c r="X17" s="56">
        <f>D17+H17+L17+P17+T17</f>
        <v>153</v>
      </c>
      <c r="Y17" s="78">
        <f t="shared" si="1"/>
        <v>11</v>
      </c>
    </row>
    <row r="18" spans="1:25">
      <c r="A18" s="42">
        <v>11</v>
      </c>
      <c r="B18" s="43" t="s">
        <v>42</v>
      </c>
      <c r="C18" s="57">
        <v>40</v>
      </c>
      <c r="D18" s="58">
        <v>40</v>
      </c>
      <c r="E18" s="59" t="s">
        <v>23</v>
      </c>
      <c r="F18" s="60" t="s">
        <v>24</v>
      </c>
      <c r="G18" s="57">
        <v>46</v>
      </c>
      <c r="H18" s="58">
        <v>46</v>
      </c>
      <c r="I18" s="59" t="s">
        <v>21</v>
      </c>
      <c r="J18" s="62" t="s">
        <v>22</v>
      </c>
      <c r="K18" s="57">
        <v>46</v>
      </c>
      <c r="L18" s="58">
        <v>46</v>
      </c>
      <c r="M18" s="59" t="s">
        <v>21</v>
      </c>
      <c r="N18" s="63" t="s">
        <v>22</v>
      </c>
      <c r="O18" s="57">
        <v>40</v>
      </c>
      <c r="P18" s="58">
        <v>40</v>
      </c>
      <c r="Q18" s="59" t="s">
        <v>23</v>
      </c>
      <c r="R18" s="60" t="s">
        <v>24</v>
      </c>
      <c r="S18" s="57">
        <v>50</v>
      </c>
      <c r="T18" s="58">
        <v>50</v>
      </c>
      <c r="U18" s="59" t="s">
        <v>21</v>
      </c>
      <c r="V18" s="60" t="s">
        <v>22</v>
      </c>
      <c r="W18" s="55">
        <f t="shared" si="0"/>
        <v>0</v>
      </c>
      <c r="X18" s="56">
        <f>D18+H18+L18+P18+T18</f>
        <v>222</v>
      </c>
      <c r="Y18" s="78">
        <f t="shared" si="1"/>
        <v>1</v>
      </c>
    </row>
    <row r="19" spans="1: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79"/>
    </row>
    <row r="20" spans="1:25" ht="18.75">
      <c r="A20" s="64"/>
      <c r="B20" s="66" t="s">
        <v>43</v>
      </c>
      <c r="C20" s="66"/>
      <c r="D20" s="66"/>
      <c r="E20" s="67"/>
      <c r="F20" s="67"/>
      <c r="G20" s="67"/>
      <c r="H20" s="65"/>
      <c r="I20" s="68"/>
      <c r="J20" s="68"/>
      <c r="K20" s="68" t="s">
        <v>44</v>
      </c>
      <c r="L20" s="68"/>
      <c r="M20" s="68"/>
      <c r="N20" s="65"/>
      <c r="O20" s="65"/>
      <c r="P20" s="65"/>
      <c r="Q20" s="65"/>
      <c r="R20" s="65"/>
      <c r="S20" s="68"/>
      <c r="T20" s="65"/>
      <c r="U20" s="68" t="s">
        <v>43</v>
      </c>
      <c r="V20" s="65"/>
      <c r="W20" s="65"/>
      <c r="X20" s="65"/>
      <c r="Y20" s="79"/>
    </row>
    <row r="21" spans="1:25" ht="19.5" thickBot="1">
      <c r="A21" s="69"/>
      <c r="B21" s="70" t="s">
        <v>45</v>
      </c>
      <c r="C21" s="70"/>
      <c r="D21" s="70"/>
      <c r="E21" s="71"/>
      <c r="F21" s="71"/>
      <c r="G21" s="72"/>
      <c r="H21" s="73"/>
      <c r="I21" s="73"/>
      <c r="J21" s="72"/>
      <c r="K21" s="73" t="s">
        <v>46</v>
      </c>
      <c r="L21" s="73"/>
      <c r="M21" s="73"/>
      <c r="N21" s="73"/>
      <c r="O21" s="72"/>
      <c r="P21" s="72"/>
      <c r="Q21" s="72"/>
      <c r="R21" s="72"/>
      <c r="S21" s="70" t="s">
        <v>47</v>
      </c>
      <c r="T21" s="70"/>
      <c r="U21" s="70"/>
      <c r="V21" s="70"/>
      <c r="W21" s="70"/>
      <c r="X21" s="70"/>
      <c r="Y21" s="80"/>
    </row>
  </sheetData>
  <mergeCells count="26">
    <mergeCell ref="N6:N7"/>
    <mergeCell ref="M6:M7"/>
    <mergeCell ref="R6:R7"/>
    <mergeCell ref="U6:U7"/>
    <mergeCell ref="V6:V7"/>
    <mergeCell ref="B20:D20"/>
    <mergeCell ref="B21:D21"/>
    <mergeCell ref="S21:X21"/>
    <mergeCell ref="J6:J7"/>
    <mergeCell ref="I6:I7"/>
    <mergeCell ref="F6:F7"/>
    <mergeCell ref="E6:E7"/>
    <mergeCell ref="W5:W7"/>
    <mergeCell ref="X5:X7"/>
    <mergeCell ref="Y5:Y7"/>
    <mergeCell ref="Q6:Q7"/>
    <mergeCell ref="B1:Y1"/>
    <mergeCell ref="A2:Y2"/>
    <mergeCell ref="A3:Y3"/>
    <mergeCell ref="A4:Y4"/>
    <mergeCell ref="A5:A7"/>
    <mergeCell ref="B5:B7"/>
    <mergeCell ref="G5:J5"/>
    <mergeCell ref="K5:N5"/>
    <mergeCell ref="O5:R5"/>
    <mergeCell ref="S5:V5"/>
  </mergeCells>
  <conditionalFormatting sqref="U8:V18 Q8:R18 M8:N18 I8:J18 E8:F18">
    <cfRule type="containsText" dxfId="1" priority="2" operator="containsText" text="ABS">
      <formula>NOT(ISERROR(SEARCH("ABS",E8)))</formula>
    </cfRule>
  </conditionalFormatting>
  <conditionalFormatting sqref="D8:D18">
    <cfRule type="cellIs" dxfId="0" priority="1" operator="lessThan">
      <formula>18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2025-08-04T09:37:21Z</dcterms:created>
  <dcterms:modified xsi:type="dcterms:W3CDTF">2025-08-04T09:40:12Z</dcterms:modified>
</cp:coreProperties>
</file>